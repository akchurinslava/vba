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Sellest_töövihikust" defaultThemeVersion="166925"/>
  <mc:AlternateContent xmlns:mc="http://schemas.openxmlformats.org/markup-compatibility/2006">
    <mc:Choice Requires="x15">
      <x15ac:absPath xmlns:x15ac="http://schemas.microsoft.com/office/spreadsheetml/2010/11/ac" url="C:\Users\opilane\Desktop\"/>
    </mc:Choice>
  </mc:AlternateContent>
  <xr:revisionPtr revIDLastSave="0" documentId="13_ncr:1_{B8CAFCDE-05B8-45FA-B2BE-17E9F99F8535}" xr6:coauthVersionLast="36" xr6:coauthVersionMax="36" xr10:uidLastSave="{00000000-0000-0000-0000-000000000000}"/>
  <bookViews>
    <workbookView xWindow="0" yWindow="0" windowWidth="24675" windowHeight="8925" activeTab="1" xr2:uid="{B488CE9E-2DC2-42FE-B59E-7433B65989D7}"/>
  </bookViews>
  <sheets>
    <sheet name="macros" sheetId="1" r:id="rId1"/>
    <sheet name="User op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" i="2" l="1"/>
  <c r="C52" i="2"/>
  <c r="C49" i="2"/>
  <c r="B4" i="2"/>
  <c r="J19" i="1"/>
  <c r="C47" i="2"/>
  <c r="C46" i="2"/>
  <c r="C38" i="2"/>
  <c r="C39" i="2"/>
  <c r="C37" i="2"/>
  <c r="C31" i="2"/>
  <c r="C32" i="2"/>
  <c r="C33" i="2"/>
  <c r="C30" i="2"/>
  <c r="C25" i="2"/>
  <c r="C27" i="2"/>
  <c r="C26" i="2"/>
  <c r="C24" i="2"/>
  <c r="C21" i="2"/>
  <c r="C20" i="2"/>
  <c r="D15" i="2"/>
  <c r="C15" i="2"/>
  <c r="C11" i="2"/>
  <c r="C8" i="2"/>
  <c r="C7" i="2"/>
  <c r="C4" i="2"/>
</calcChain>
</file>

<file path=xl/sharedStrings.xml><?xml version="1.0" encoding="utf-8"?>
<sst xmlns="http://schemas.openxmlformats.org/spreadsheetml/2006/main" count="50" uniqueCount="48">
  <si>
    <t>Monday</t>
  </si>
  <si>
    <t>Tuesday</t>
  </si>
  <si>
    <t>Wednesday</t>
  </si>
  <si>
    <t>Thursday</t>
  </si>
  <si>
    <t>Friday</t>
  </si>
  <si>
    <t>Saturday</t>
  </si>
  <si>
    <t>Sunday</t>
  </si>
  <si>
    <t>User functions VBA</t>
  </si>
  <si>
    <t>* Loo funktsioon, mis väljastaks pii väärtuse.</t>
  </si>
  <si>
    <t>* Loo funktsioon korrutamaks etteantud arv kahega.</t>
  </si>
  <si>
    <t>* Loo funktsioon kahe arvu korrutamiseks.</t>
  </si>
  <si>
    <t>* Loo funktsioon kolmnurga pindala leidmiseks aluse ja kõrguse järgi.</t>
  </si>
  <si>
    <t>* Loo funktsioon kolmnurga hüpotenuusi leidmiseks (ruutjuure leiab sqr)</t>
  </si>
  <si>
    <t>* Loo funktsioon anuma ruumala leidmiseks läbimõõdu ja kõrguse järgi.</t>
  </si>
  <si>
    <t>* Loo funktsioon teatamaks, kas ilm on soe või külm.</t>
  </si>
  <si>
    <t>* Loo funktsioon teatamaks, kas ilm on palav, soe või külm.</t>
  </si>
  <si>
    <t>* Loo funktsioon väljastamaks kontrolltöö punktidele vastava hinde.</t>
  </si>
  <si>
    <t>* Lisaks eelmisele antakse ette ka maksimumpunktid.</t>
  </si>
  <si>
    <t>* Praeahjul on jaotised 1-150, 2-175, 3-200, 4-225, 5-250. Teata kraadidele vastav jaotis.</t>
  </si>
  <si>
    <t>* Koosta funktsioon toa lae pindala leidmisteks seinte pikkuse järgi.</t>
  </si>
  <si>
    <t xml:space="preserve">* Loo funktsioon lae katmiseks vajalike plaatide arvu leidmiseks. Ruudukujulise plaadi serva pikkus on 50 cm. </t>
  </si>
  <si>
    <t>* Loo funktsioon teatamaks, kas etteantud arv on paarisarv.</t>
  </si>
  <si>
    <t>* Teata nimest esimene täht</t>
  </si>
  <si>
    <t>* Väljasta tühikuga eraldatud ees- ja perekonnanimest eesnimi</t>
  </si>
  <si>
    <t>* Väljasta sarnaselt perekonnanimi.</t>
  </si>
  <si>
    <t>* Aadress on lahtris kujul: indeks maakond vald küla nimi.  Koosta funktsioon vaid indeksi näitamiseks.</t>
  </si>
  <si>
    <t>----------------------------------------------------------------</t>
  </si>
  <si>
    <t>* Loo funktsioon teatamaks -Дать оценку росту человека - высокий, низкий или средний. Шкалу продумать самостоятельно!</t>
  </si>
  <si>
    <t>** Loo funktsioon teatamaks, которая расчитывает периметр прямоугольного участка.</t>
  </si>
  <si>
    <t>* Eralda isikukoodist sünnikuupäev. - MID</t>
  </si>
  <si>
    <t>* Eralda isikukoodist sünnikuu (sõnana)</t>
  </si>
  <si>
    <t>* Eralda isikukoodist sünniaasta (ka sajandit arvestades)</t>
  </si>
  <si>
    <t>*** составить свое задание и выполнить его.</t>
  </si>
  <si>
    <t>arv</t>
  </si>
  <si>
    <t>arv1</t>
  </si>
  <si>
    <t>arv2</t>
  </si>
  <si>
    <t>korrutis</t>
  </si>
  <si>
    <t>kõrgus</t>
  </si>
  <si>
    <t>alus</t>
  </si>
  <si>
    <t>S</t>
  </si>
  <si>
    <t>temp</t>
  </si>
  <si>
    <t xml:space="preserve"> </t>
  </si>
  <si>
    <t>punktid</t>
  </si>
  <si>
    <t>punktid/90-100=5, 75-89=4, 60-74=3</t>
  </si>
  <si>
    <t>maxpunktid</t>
  </si>
  <si>
    <t>paris/paaritu</t>
  </si>
  <si>
    <t>Vjatseslav</t>
  </si>
  <si>
    <t>Vjatseslav Aktsurin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</si>
</sst>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</font>
    <font>
      <sz val="9"/>
      <color rgb="FF1D2125"/>
      <name val="Consolas"/>
      <family val="3"/>
      <charset val="186"/>
    </font>
    <font>
      <sz val="9"/>
      <color rgb="FFFF0000"/>
      <name val="Consolas"/>
      <family val="3"/>
      <charset val="186"/>
    </font>
    <font>
      <sz val="9"/>
      <name val="Consolas"/>
      <family val="3"/>
      <charset val="18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</cellXfs>
  <cellStyles count="1">
    <cellStyle name="Normaallaa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152400</xdr:rowOff>
        </xdr:from>
        <xdr:to>
          <xdr:col>9</xdr:col>
          <xdr:colOff>409575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</xdr:row>
          <xdr:rowOff>152400</xdr:rowOff>
        </xdr:from>
        <xdr:to>
          <xdr:col>14</xdr:col>
          <xdr:colOff>200025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21</xdr:row>
          <xdr:rowOff>171450</xdr:rowOff>
        </xdr:from>
        <xdr:to>
          <xdr:col>15</xdr:col>
          <xdr:colOff>19050</xdr:colOff>
          <xdr:row>25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Delete_today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5EC0-4C30-455E-A079-6FA391E634B6}">
  <sheetPr codeName="Leht1"/>
  <dimension ref="E8:J19"/>
  <sheetViews>
    <sheetView workbookViewId="0">
      <selection activeCell="J19" sqref="J19"/>
    </sheetView>
  </sheetViews>
  <sheetFormatPr defaultRowHeight="15" x14ac:dyDescent="0.25"/>
  <cols>
    <col min="5" max="5" width="18.7109375" customWidth="1"/>
    <col min="10" max="10" width="10.140625" bestFit="1" customWidth="1"/>
  </cols>
  <sheetData>
    <row r="8" spans="5:5" x14ac:dyDescent="0.25">
      <c r="E8" s="1" t="s">
        <v>0</v>
      </c>
    </row>
    <row r="9" spans="5:5" x14ac:dyDescent="0.25">
      <c r="E9" s="1" t="s">
        <v>1</v>
      </c>
    </row>
    <row r="10" spans="5:5" x14ac:dyDescent="0.25">
      <c r="E10" s="1" t="s">
        <v>2</v>
      </c>
    </row>
    <row r="11" spans="5:5" x14ac:dyDescent="0.25">
      <c r="E11" s="1" t="s">
        <v>3</v>
      </c>
    </row>
    <row r="12" spans="5:5" x14ac:dyDescent="0.25">
      <c r="E12" s="1" t="s">
        <v>4</v>
      </c>
    </row>
    <row r="13" spans="5:5" x14ac:dyDescent="0.25">
      <c r="E13" s="1" t="s">
        <v>5</v>
      </c>
    </row>
    <row r="14" spans="5:5" x14ac:dyDescent="0.25">
      <c r="E14" s="1" t="s">
        <v>6</v>
      </c>
    </row>
    <row r="19" spans="10:10" x14ac:dyDescent="0.25">
      <c r="J19" s="2">
        <f ca="1">TODAY()</f>
        <v>44915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dalapaevad">
                <anchor moveWithCells="1">
                  <from>
                    <xdr:col>8</xdr:col>
                    <xdr:colOff>0</xdr:colOff>
                    <xdr:row>5</xdr:row>
                    <xdr:rowOff>152400</xdr:rowOff>
                  </from>
                  <to>
                    <xdr:col>9</xdr:col>
                    <xdr:colOff>409575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Today">
                <anchor moveWithCells="1" sizeWithCells="1">
                  <from>
                    <xdr:col>11</xdr:col>
                    <xdr:colOff>371475</xdr:colOff>
                    <xdr:row>12</xdr:row>
                    <xdr:rowOff>152400</xdr:rowOff>
                  </from>
                  <to>
                    <xdr:col>14</xdr:col>
                    <xdr:colOff>200025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_today">
                <anchor moveWithCells="1" sizeWithCells="1">
                  <from>
                    <xdr:col>12</xdr:col>
                    <xdr:colOff>19050</xdr:colOff>
                    <xdr:row>21</xdr:row>
                    <xdr:rowOff>171450</xdr:rowOff>
                  </from>
                  <to>
                    <xdr:col>15</xdr:col>
                    <xdr:colOff>19050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E1CBE-6E76-4EF0-B9A0-65053E187A3B}">
  <sheetPr codeName="Leht2"/>
  <dimension ref="A1:E61"/>
  <sheetViews>
    <sheetView tabSelected="1" topLeftCell="A34" workbookViewId="0">
      <selection activeCell="G49" sqref="G49"/>
    </sheetView>
  </sheetViews>
  <sheetFormatPr defaultRowHeight="15" x14ac:dyDescent="0.25"/>
  <cols>
    <col min="1" max="1" width="37.28515625" customWidth="1"/>
    <col min="2" max="2" width="17.5703125" customWidth="1"/>
    <col min="3" max="3" width="22.5703125" customWidth="1"/>
    <col min="4" max="4" width="17.7109375" customWidth="1"/>
  </cols>
  <sheetData>
    <row r="1" spans="1:4" x14ac:dyDescent="0.25">
      <c r="A1" t="s">
        <v>7</v>
      </c>
    </row>
    <row r="3" spans="1:4" x14ac:dyDescent="0.25">
      <c r="A3" s="3" t="s">
        <v>8</v>
      </c>
    </row>
    <row r="4" spans="1:4" x14ac:dyDescent="0.25">
      <c r="A4" s="3"/>
      <c r="B4" s="4">
        <f>PI()</f>
        <v>3.1415926535897931</v>
      </c>
      <c r="C4" s="1">
        <f>newpi()</f>
        <v>3.14</v>
      </c>
    </row>
    <row r="5" spans="1:4" x14ac:dyDescent="0.25">
      <c r="A5" s="3" t="s">
        <v>9</v>
      </c>
    </row>
    <row r="6" spans="1:4" x14ac:dyDescent="0.25">
      <c r="A6" s="3"/>
      <c r="B6" t="s">
        <v>33</v>
      </c>
    </row>
    <row r="7" spans="1:4" x14ac:dyDescent="0.25">
      <c r="A7" s="3"/>
      <c r="B7">
        <v>5</v>
      </c>
      <c r="C7" s="1">
        <f>doubl(B7)</f>
        <v>10</v>
      </c>
    </row>
    <row r="8" spans="1:4" x14ac:dyDescent="0.25">
      <c r="A8" s="3"/>
      <c r="B8">
        <v>2.3650000000000002</v>
      </c>
      <c r="C8" s="1">
        <f>doubl(B8)</f>
        <v>4.7300000000000004</v>
      </c>
    </row>
    <row r="9" spans="1:4" x14ac:dyDescent="0.25">
      <c r="A9" s="3" t="s">
        <v>10</v>
      </c>
    </row>
    <row r="10" spans="1:4" x14ac:dyDescent="0.25">
      <c r="A10" s="3" t="s">
        <v>34</v>
      </c>
      <c r="B10" t="s">
        <v>35</v>
      </c>
      <c r="C10" t="s">
        <v>36</v>
      </c>
    </row>
    <row r="11" spans="1:4" x14ac:dyDescent="0.25">
      <c r="A11" s="3">
        <v>2.3432554353400001</v>
      </c>
      <c r="B11">
        <v>125</v>
      </c>
      <c r="C11" s="1">
        <f>korrutis(A11,B11)</f>
        <v>292.90699999999998</v>
      </c>
    </row>
    <row r="12" spans="1:4" x14ac:dyDescent="0.25">
      <c r="A12" s="3"/>
    </row>
    <row r="13" spans="1:4" x14ac:dyDescent="0.25">
      <c r="A13" s="3" t="s">
        <v>11</v>
      </c>
    </row>
    <row r="14" spans="1:4" x14ac:dyDescent="0.25">
      <c r="A14" s="3" t="s">
        <v>37</v>
      </c>
      <c r="B14" t="s">
        <v>38</v>
      </c>
      <c r="C14" t="s">
        <v>39</v>
      </c>
    </row>
    <row r="15" spans="1:4" x14ac:dyDescent="0.25">
      <c r="A15" s="3">
        <v>56</v>
      </c>
      <c r="B15">
        <v>5</v>
      </c>
      <c r="C15" s="1">
        <f>kolmnurPindala(A15,B15)</f>
        <v>140</v>
      </c>
      <c r="D15" s="1">
        <f>kolmnurkPindala2(A15,B15)</f>
        <v>140</v>
      </c>
    </row>
    <row r="16" spans="1:4" x14ac:dyDescent="0.25">
      <c r="A16" s="5" t="s">
        <v>12</v>
      </c>
    </row>
    <row r="17" spans="1:5" x14ac:dyDescent="0.25">
      <c r="A17" s="5" t="s">
        <v>13</v>
      </c>
    </row>
    <row r="18" spans="1:5" x14ac:dyDescent="0.25">
      <c r="A18" s="3" t="s">
        <v>14</v>
      </c>
    </row>
    <row r="19" spans="1:5" x14ac:dyDescent="0.25">
      <c r="A19" s="3"/>
      <c r="B19" t="s">
        <v>40</v>
      </c>
    </row>
    <row r="20" spans="1:5" x14ac:dyDescent="0.25">
      <c r="A20" s="3"/>
      <c r="B20">
        <v>16</v>
      </c>
      <c r="C20" s="1" t="str">
        <f>ilm(B20)</f>
        <v>soe</v>
      </c>
    </row>
    <row r="21" spans="1:5" x14ac:dyDescent="0.25">
      <c r="A21" s="3"/>
      <c r="B21">
        <v>-5</v>
      </c>
      <c r="C21" s="1" t="str">
        <f>ilm(B21)</f>
        <v>kulm</v>
      </c>
      <c r="E21" t="s">
        <v>41</v>
      </c>
    </row>
    <row r="22" spans="1:5" x14ac:dyDescent="0.25">
      <c r="A22" s="3" t="s">
        <v>15</v>
      </c>
    </row>
    <row r="23" spans="1:5" x14ac:dyDescent="0.25">
      <c r="A23" s="3"/>
      <c r="B23" t="s">
        <v>40</v>
      </c>
    </row>
    <row r="24" spans="1:5" x14ac:dyDescent="0.25">
      <c r="A24" s="3"/>
      <c r="B24">
        <v>30</v>
      </c>
      <c r="C24" s="1" t="str">
        <f>ilmabra(B24)</f>
        <v>palav</v>
      </c>
    </row>
    <row r="25" spans="1:5" x14ac:dyDescent="0.25">
      <c r="A25" s="3"/>
      <c r="B25">
        <v>15</v>
      </c>
      <c r="C25" s="1" t="str">
        <f t="shared" ref="C25:C27" si="0">ilmabra(B25)</f>
        <v>kulm</v>
      </c>
    </row>
    <row r="26" spans="1:5" x14ac:dyDescent="0.25">
      <c r="A26" s="3"/>
      <c r="B26">
        <v>0</v>
      </c>
      <c r="C26" s="1" t="str">
        <f t="shared" si="0"/>
        <v>kulm</v>
      </c>
    </row>
    <row r="27" spans="1:5" x14ac:dyDescent="0.25">
      <c r="A27" s="3"/>
      <c r="B27">
        <v>20</v>
      </c>
      <c r="C27" s="1" t="str">
        <f t="shared" si="0"/>
        <v>soe</v>
      </c>
    </row>
    <row r="28" spans="1:5" x14ac:dyDescent="0.25">
      <c r="A28" s="3" t="s">
        <v>16</v>
      </c>
    </row>
    <row r="29" spans="1:5" x14ac:dyDescent="0.25">
      <c r="A29" s="3"/>
      <c r="B29" t="s">
        <v>43</v>
      </c>
    </row>
    <row r="30" spans="1:5" x14ac:dyDescent="0.25">
      <c r="A30" s="3"/>
      <c r="B30">
        <v>95</v>
      </c>
      <c r="C30" s="1" t="str">
        <f>hinne(B30)</f>
        <v>5</v>
      </c>
    </row>
    <row r="31" spans="1:5" x14ac:dyDescent="0.25">
      <c r="A31" s="3"/>
      <c r="B31">
        <v>77</v>
      </c>
      <c r="C31" s="1" t="str">
        <f t="shared" ref="C31:C33" si="1">hinne(B31)</f>
        <v>4</v>
      </c>
    </row>
    <row r="32" spans="1:5" x14ac:dyDescent="0.25">
      <c r="A32" s="3"/>
      <c r="B32">
        <v>66</v>
      </c>
      <c r="C32" s="1" t="str">
        <f t="shared" si="1"/>
        <v>3</v>
      </c>
    </row>
    <row r="33" spans="1:3" x14ac:dyDescent="0.25">
      <c r="A33" s="3"/>
      <c r="B33">
        <v>42</v>
      </c>
      <c r="C33" s="1" t="str">
        <f t="shared" si="1"/>
        <v>2</v>
      </c>
    </row>
    <row r="34" spans="1:3" x14ac:dyDescent="0.25">
      <c r="A34" s="3"/>
    </row>
    <row r="35" spans="1:3" x14ac:dyDescent="0.25">
      <c r="A35" s="3" t="s">
        <v>17</v>
      </c>
    </row>
    <row r="36" spans="1:3" x14ac:dyDescent="0.25">
      <c r="A36" s="3" t="s">
        <v>42</v>
      </c>
      <c r="B36" t="s">
        <v>44</v>
      </c>
    </row>
    <row r="37" spans="1:3" x14ac:dyDescent="0.25">
      <c r="A37" s="3">
        <v>10</v>
      </c>
      <c r="B37">
        <v>20</v>
      </c>
      <c r="C37" s="1" t="str">
        <f>hinne2(A37,B37)</f>
        <v>50hinne 2</v>
      </c>
    </row>
    <row r="38" spans="1:3" x14ac:dyDescent="0.25">
      <c r="A38" s="3">
        <v>75</v>
      </c>
      <c r="B38">
        <v>100</v>
      </c>
      <c r="C38" s="1" t="str">
        <f t="shared" ref="C38:C39" si="2">hinne2(A38,B38)</f>
        <v>75hinne 4</v>
      </c>
    </row>
    <row r="39" spans="1:3" x14ac:dyDescent="0.25">
      <c r="A39" s="3">
        <v>3</v>
      </c>
      <c r="B39">
        <v>5</v>
      </c>
      <c r="C39" s="1" t="str">
        <f t="shared" si="2"/>
        <v>60hinne 3</v>
      </c>
    </row>
    <row r="40" spans="1:3" x14ac:dyDescent="0.25">
      <c r="A40" s="3"/>
    </row>
    <row r="41" spans="1:3" x14ac:dyDescent="0.25">
      <c r="A41" s="5" t="s">
        <v>18</v>
      </c>
    </row>
    <row r="42" spans="1:3" x14ac:dyDescent="0.25">
      <c r="A42" s="5" t="s">
        <v>19</v>
      </c>
    </row>
    <row r="43" spans="1:3" x14ac:dyDescent="0.25">
      <c r="A43" s="5" t="s">
        <v>20</v>
      </c>
    </row>
    <row r="44" spans="1:3" x14ac:dyDescent="0.25">
      <c r="A44" s="6" t="s">
        <v>21</v>
      </c>
    </row>
    <row r="45" spans="1:3" x14ac:dyDescent="0.25">
      <c r="A45" s="6"/>
      <c r="B45" t="s">
        <v>33</v>
      </c>
      <c r="C45" t="s">
        <v>45</v>
      </c>
    </row>
    <row r="46" spans="1:3" x14ac:dyDescent="0.25">
      <c r="A46" s="6"/>
      <c r="B46">
        <v>34</v>
      </c>
      <c r="C46" s="1" t="str">
        <f>paarisArv(B46)</f>
        <v>paaris</v>
      </c>
    </row>
    <row r="47" spans="1:3" x14ac:dyDescent="0.25">
      <c r="A47" s="6"/>
      <c r="B47">
        <v>15</v>
      </c>
      <c r="C47" s="1" t="str">
        <f>paarisArv(B47)</f>
        <v>paaritu</v>
      </c>
    </row>
    <row r="48" spans="1:3" x14ac:dyDescent="0.25">
      <c r="A48" s="3" t="s">
        <v>22</v>
      </c>
    </row>
    <row r="49" spans="1:4" x14ac:dyDescent="0.25">
      <c r="A49" s="3"/>
      <c r="B49" s="3" t="s">
        <v>46</v>
      </c>
      <c r="C49" t="str">
        <f>EsimeneTaht(B49)</f>
        <v>V</v>
      </c>
    </row>
    <row r="50" spans="1:4" x14ac:dyDescent="0.25">
      <c r="A50" s="3" t="s">
        <v>23</v>
      </c>
    </row>
    <row r="51" spans="1:4" x14ac:dyDescent="0.25">
      <c r="A51" s="3" t="s">
        <v>24</v>
      </c>
    </row>
    <row r="52" spans="1:4" x14ac:dyDescent="0.25">
      <c r="A52" s="3"/>
      <c r="B52" t="s">
        <v>47</v>
      </c>
      <c r="C52" s="1" t="str">
        <f>separ(B52)</f>
        <v xml:space="preserve">Vjatseslav </v>
      </c>
      <c r="D52" s="1" t="str">
        <f>separ2(B52)</f>
        <v>Aktsurin</v>
      </c>
    </row>
    <row r="53" spans="1:4" x14ac:dyDescent="0.25">
      <c r="A53" s="3"/>
      <c r="C53" s="1"/>
      <c r="D53" s="1"/>
    </row>
    <row r="54" spans="1:4" x14ac:dyDescent="0.25">
      <c r="A54" s="3" t="s">
        <v>25</v>
      </c>
    </row>
    <row r="55" spans="1:4" x14ac:dyDescent="0.25">
      <c r="A55" s="3" t="s">
        <v>26</v>
      </c>
    </row>
    <row r="56" spans="1:4" x14ac:dyDescent="0.25">
      <c r="A56" s="3" t="s">
        <v>27</v>
      </c>
    </row>
    <row r="57" spans="1:4" x14ac:dyDescent="0.25">
      <c r="A57" s="3" t="s">
        <v>28</v>
      </c>
    </row>
    <row r="58" spans="1:4" x14ac:dyDescent="0.25">
      <c r="A58" s="3" t="s">
        <v>29</v>
      </c>
    </row>
    <row r="59" spans="1:4" x14ac:dyDescent="0.25">
      <c r="A59" s="3" t="s">
        <v>30</v>
      </c>
    </row>
    <row r="60" spans="1:4" x14ac:dyDescent="0.25">
      <c r="A60" s="3" t="s">
        <v>31</v>
      </c>
    </row>
    <row r="61" spans="1:4" x14ac:dyDescent="0.25">
      <c r="A61" s="3" t="s">
        <v>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2</vt:i4>
      </vt:variant>
    </vt:vector>
  </HeadingPairs>
  <TitlesOfParts>
    <vt:vector size="2" baseType="lpstr">
      <vt:lpstr>macros</vt:lpstr>
      <vt:lpstr>User 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2022-12-20T10:41:22Z</dcterms:created>
  <dcterms:modified xsi:type="dcterms:W3CDTF">2022-12-20T13:19:29Z</dcterms:modified>
</cp:coreProperties>
</file>