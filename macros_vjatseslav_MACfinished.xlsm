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alogisticsou/Desktop/"/>
    </mc:Choice>
  </mc:AlternateContent>
  <xr:revisionPtr revIDLastSave="0" documentId="13_ncr:1_{9C08DDCD-0071-C743-A523-270D7FF537D3}" xr6:coauthVersionLast="47" xr6:coauthVersionMax="47" xr10:uidLastSave="{00000000-0000-0000-0000-000000000000}"/>
  <bookViews>
    <workbookView xWindow="9420" yWindow="1180" windowWidth="23160" windowHeight="18160" activeTab="1" xr2:uid="{8601D6C4-32E2-D748-88A3-E47C29269194}"/>
  </bookViews>
  <sheets>
    <sheet name="macros" sheetId="2" r:id="rId1"/>
    <sheet name="user_functions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1" i="2" l="1"/>
  <c r="B4" i="1"/>
  <c r="D87" i="1"/>
  <c r="D92" i="1"/>
  <c r="D88" i="1"/>
  <c r="D91" i="1"/>
  <c r="D89" i="1"/>
  <c r="D90" i="1"/>
  <c r="D93" i="1"/>
  <c r="D86" i="1"/>
  <c r="C82" i="1"/>
  <c r="C79" i="1"/>
  <c r="C76" i="1"/>
  <c r="C73" i="1"/>
  <c r="C69" i="1"/>
  <c r="C70" i="1"/>
  <c r="C68" i="1"/>
  <c r="C53" i="1"/>
  <c r="C48" i="1"/>
  <c r="C50" i="1"/>
  <c r="C49" i="1"/>
  <c r="C47" i="1"/>
  <c r="C21" i="1"/>
  <c r="C18" i="1"/>
  <c r="C41" i="1"/>
  <c r="C28" i="1"/>
  <c r="C4" i="1"/>
  <c r="D62" i="1"/>
  <c r="C35" i="1"/>
  <c r="C25" i="1"/>
  <c r="C62" i="1"/>
  <c r="C36" i="1"/>
  <c r="C24" i="1"/>
  <c r="C59" i="1"/>
  <c r="C37" i="1"/>
  <c r="D15" i="1"/>
  <c r="C57" i="1"/>
  <c r="C34" i="1"/>
  <c r="C15" i="1"/>
  <c r="C56" i="1"/>
  <c r="C29" i="1"/>
  <c r="C11" i="1"/>
  <c r="C43" i="1"/>
  <c r="C30" i="1"/>
  <c r="C8" i="1"/>
  <c r="C42" i="1"/>
  <c r="C31" i="1"/>
  <c r="C7" i="1"/>
</calcChain>
</file>

<file path=xl/sharedStrings.xml><?xml version="1.0" encoding="utf-8"?>
<sst xmlns="http://schemas.openxmlformats.org/spreadsheetml/2006/main" count="71" uniqueCount="67">
  <si>
    <t>User functions VBA</t>
  </si>
  <si>
    <t>* Loo funktsioon, mis väljastaks pii väärtuse.</t>
  </si>
  <si>
    <t>* Loo funktsioon korrutamaks etteantud arv kahega.</t>
  </si>
  <si>
    <t>arv</t>
  </si>
  <si>
    <t>* Loo funktsioon kahe arvu korrutamiseks.</t>
  </si>
  <si>
    <t>arv1</t>
  </si>
  <si>
    <t>arv2</t>
  </si>
  <si>
    <t>korrutis</t>
  </si>
  <si>
    <t>* Loo funktsioon kolmnurga pindala leidmiseks aluse ja kõrguse järgi.</t>
  </si>
  <si>
    <t>kõrgus</t>
  </si>
  <si>
    <t>alus</t>
  </si>
  <si>
    <t>S</t>
  </si>
  <si>
    <t>* Loo funktsioon kolmnurga hüpotenuusi leidmiseks (ruutjuure leiab sqr)</t>
  </si>
  <si>
    <t>* Loo funktsioon anuma ruumala leidmiseks läbimõõdu ja kõrguse järgi.</t>
  </si>
  <si>
    <t>* Loo funktsioon teatamaks, kas ilm on soe või külm.</t>
  </si>
  <si>
    <t>temp</t>
  </si>
  <si>
    <t>* Loo funktsioon teatamaks, kas ilm on palav, soe või külm.</t>
  </si>
  <si>
    <t>* Loo funktsioon väljastamaks kontrolltöö punktidele vastava hinde.</t>
  </si>
  <si>
    <t>punktid/90-100=5, 75-89=4, 60-74=3</t>
  </si>
  <si>
    <t>* Lisaks eelmisele antakse ette ka maksimumpunktid.</t>
  </si>
  <si>
    <t>punktid</t>
  </si>
  <si>
    <t>maxpunktid</t>
  </si>
  <si>
    <t>* Praeahjul on jaotised 1-150, 2-175, 3-200, 4-225, 5-250. Teata kraadidele vastav jaotis.</t>
  </si>
  <si>
    <t xml:space="preserve">* Loo funktsioon lae katmiseks vajalike plaatide arvu leidmiseks. Ruudukujulise plaadi serva pikkus on 50 cm. </t>
  </si>
  <si>
    <t>* Loo funktsioon teatamaks, kas etteantud arv on paarisarv.</t>
  </si>
  <si>
    <t>* Teata nimest esimene täht</t>
  </si>
  <si>
    <t>Vjatseslav</t>
  </si>
  <si>
    <t>* Väljasta tühikuga eraldatud ees- ja perekonnanimest eesnimi</t>
  </si>
  <si>
    <t>* Väljasta sarnaselt perekonnanimi.</t>
  </si>
  <si>
    <t>Vjatseslav Aktsurin</t>
  </si>
  <si>
    <t>* Aadress on lahtris kujul: indeks maakond vald küla nimi.  Koosta funktsioon vaid indeksi näitamiseks.</t>
  </si>
  <si>
    <t>----------------------------------------------------------------</t>
  </si>
  <si>
    <t>* Loo funktsioon teatamaks -Дать оценку росту человека - высокий, низкий или средний. Шкалу продумать самостоятельно!</t>
  </si>
  <si>
    <t>** Loo funktsioon teatamaks, которая расчитывает периметр прямоугольного участка.</t>
  </si>
  <si>
    <t>* Eralda isikukoodist sünnikuupäev. - MID</t>
  </si>
  <si>
    <t>* Eralda isikukoodist sünnikuu (sõnana)</t>
  </si>
  <si>
    <t>* Eralda isikukoodist sünniaasta (ka sajandit arvestades)</t>
  </si>
  <si>
    <t>*** составить свое задание и выполнить его.</t>
  </si>
  <si>
    <t>paaris/paaritu</t>
  </si>
  <si>
    <t>Monday</t>
  </si>
  <si>
    <t>Tuesday</t>
  </si>
  <si>
    <t>Wednesday</t>
  </si>
  <si>
    <t>Thursday</t>
  </si>
  <si>
    <t>Friday</t>
  </si>
  <si>
    <t>Saturday</t>
  </si>
  <si>
    <t>Sunday</t>
  </si>
  <si>
    <t>a</t>
  </si>
  <si>
    <t>b</t>
  </si>
  <si>
    <t>H</t>
  </si>
  <si>
    <t>D</t>
  </si>
  <si>
    <t>graadid</t>
  </si>
  <si>
    <t>plaad</t>
  </si>
  <si>
    <t>lagi</t>
  </si>
  <si>
    <t>Kasvu</t>
  </si>
  <si>
    <t>150 - madal, 185 - keskmine, 200 - pikk</t>
  </si>
  <si>
    <t>P</t>
  </si>
  <si>
    <t>sunnikuupaev</t>
  </si>
  <si>
    <t>ik</t>
  </si>
  <si>
    <t>sunnikuu</t>
  </si>
  <si>
    <t>ik2</t>
  </si>
  <si>
    <t>ik3</t>
  </si>
  <si>
    <t>sünniaasta (ka sajandit arvestades)</t>
  </si>
  <si>
    <t>Сколько краски нужно для покраски стен</t>
  </si>
  <si>
    <t>Сколько надо краски</t>
  </si>
  <si>
    <t>Площадь стен m2</t>
  </si>
  <si>
    <t>Объём банки с краской (l)</t>
  </si>
  <si>
    <t>Сколько m2 хватает одной банки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</si>
</sst>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3"/>
      <color theme="1"/>
      <name val="Verdana"/>
      <family val="2"/>
    </font>
    <font>
      <sz val="13"/>
      <color rgb="FFFF0000"/>
      <name val="Verdana"/>
      <family val="2"/>
    </font>
    <font>
      <sz val="8"/>
      <name val="Verdana"/>
      <family val="2"/>
    </font>
    <font>
      <sz val="13"/>
      <color rgb="FF1D2125"/>
      <name val="Verdana"/>
      <family val="2"/>
    </font>
    <font>
      <sz val="1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14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736600</xdr:colOff>
      <xdr:row>9</xdr:row>
      <xdr:rowOff>190500</xdr:rowOff>
    </xdr:from>
    <xdr:to>
      <xdr:col>8</xdr:col>
      <xdr:colOff>139700</xdr:colOff>
      <xdr:row>12</xdr:row>
      <xdr:rowOff>118872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837419CA-6770-785F-CA6D-1B0BED35B588}"/>
            </a:ext>
          </a:extLst>
        </xdr:cNvPr>
        <xdr:cNvSpPr/>
      </xdr:nvSpPr>
      <xdr:spPr>
        <a:xfrm>
          <a:off x="7213600" y="2133600"/>
          <a:ext cx="1562100" cy="57607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Week</a:t>
          </a:r>
        </a:p>
      </xdr:txBody>
    </xdr:sp>
    <xdr:clientData/>
  </xdr:twoCellAnchor>
  <xdr:twoCellAnchor>
    <xdr:from>
      <xdr:col>5</xdr:col>
      <xdr:colOff>622300</xdr:colOff>
      <xdr:row>18</xdr:row>
      <xdr:rowOff>12700</xdr:rowOff>
    </xdr:from>
    <xdr:to>
      <xdr:col>7</xdr:col>
      <xdr:colOff>266700</xdr:colOff>
      <xdr:row>21</xdr:row>
      <xdr:rowOff>38100</xdr:rowOff>
    </xdr:to>
    <xdr:sp macro="[0]!Macro4" textlink="">
      <xdr:nvSpPr>
        <xdr:cNvPr id="3" name="Rounded Rectangle 2">
          <a:extLst>
            <a:ext uri="{FF2B5EF4-FFF2-40B4-BE49-F238E27FC236}">
              <a16:creationId xmlns:a16="http://schemas.microsoft.com/office/drawing/2014/main" id="{A5590525-226F-287C-9F6F-7F365F09C533}"/>
            </a:ext>
          </a:extLst>
        </xdr:cNvPr>
        <xdr:cNvSpPr/>
      </xdr:nvSpPr>
      <xdr:spPr>
        <a:xfrm>
          <a:off x="6019800" y="3898900"/>
          <a:ext cx="1803400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Today</a:t>
          </a:r>
        </a:p>
      </xdr:txBody>
    </xdr:sp>
    <xdr:clientData/>
  </xdr:twoCellAnchor>
  <xdr:twoCellAnchor>
    <xdr:from>
      <xdr:col>5</xdr:col>
      <xdr:colOff>609600</xdr:colOff>
      <xdr:row>22</xdr:row>
      <xdr:rowOff>88900</xdr:rowOff>
    </xdr:from>
    <xdr:to>
      <xdr:col>7</xdr:col>
      <xdr:colOff>254000</xdr:colOff>
      <xdr:row>25</xdr:row>
      <xdr:rowOff>114300</xdr:rowOff>
    </xdr:to>
    <xdr:sp macro="[0]!Macro5" textlink="">
      <xdr:nvSpPr>
        <xdr:cNvPr id="4" name="Rounded Rectangle 3">
          <a:extLst>
            <a:ext uri="{FF2B5EF4-FFF2-40B4-BE49-F238E27FC236}">
              <a16:creationId xmlns:a16="http://schemas.microsoft.com/office/drawing/2014/main" id="{1C533450-D0ED-794B-805C-D3DF90428666}"/>
            </a:ext>
          </a:extLst>
        </xdr:cNvPr>
        <xdr:cNvSpPr/>
      </xdr:nvSpPr>
      <xdr:spPr>
        <a:xfrm>
          <a:off x="6007100" y="4838700"/>
          <a:ext cx="1803400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Delete_today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4837E-61BB-7A4F-88E4-59FCA4A006AD}">
  <sheetPr codeName="Sheet2"/>
  <dimension ref="B4:L29"/>
  <sheetViews>
    <sheetView workbookViewId="0">
      <selection activeCell="D21" sqref="D21"/>
    </sheetView>
  </sheetViews>
  <sheetFormatPr baseColWidth="10" defaultRowHeight="17" x14ac:dyDescent="0.2"/>
  <sheetData>
    <row r="4" spans="2:5" x14ac:dyDescent="0.2">
      <c r="B4" s="2"/>
    </row>
    <row r="8" spans="2:5" x14ac:dyDescent="0.2">
      <c r="E8" s="1" t="s">
        <v>39</v>
      </c>
    </row>
    <row r="9" spans="2:5" x14ac:dyDescent="0.2">
      <c r="E9" s="1" t="s">
        <v>40</v>
      </c>
    </row>
    <row r="10" spans="2:5" x14ac:dyDescent="0.2">
      <c r="E10" s="1" t="s">
        <v>41</v>
      </c>
    </row>
    <row r="11" spans="2:5" x14ac:dyDescent="0.2">
      <c r="E11" s="1" t="s">
        <v>42</v>
      </c>
    </row>
    <row r="12" spans="2:5" x14ac:dyDescent="0.2">
      <c r="E12" s="1" t="s">
        <v>43</v>
      </c>
    </row>
    <row r="13" spans="2:5" x14ac:dyDescent="0.2">
      <c r="C13" s="2"/>
      <c r="E13" s="1" t="s">
        <v>44</v>
      </c>
    </row>
    <row r="14" spans="2:5" x14ac:dyDescent="0.2">
      <c r="E14" s="1" t="s">
        <v>45</v>
      </c>
    </row>
    <row r="18" spans="4:12" x14ac:dyDescent="0.2">
      <c r="E18" s="2"/>
    </row>
    <row r="19" spans="4:12" x14ac:dyDescent="0.2">
      <c r="D19" s="2"/>
      <c r="I19" s="2"/>
    </row>
    <row r="20" spans="4:12" x14ac:dyDescent="0.2">
      <c r="D20" s="2"/>
      <c r="E20" s="2"/>
    </row>
    <row r="21" spans="4:12" x14ac:dyDescent="0.2">
      <c r="D21" s="2">
        <f ca="1">TODAY()</f>
        <v>44916</v>
      </c>
    </row>
    <row r="22" spans="4:12" x14ac:dyDescent="0.2">
      <c r="E22" s="2"/>
      <c r="J22" s="2"/>
      <c r="L22" s="2"/>
    </row>
    <row r="27" spans="4:12" x14ac:dyDescent="0.2">
      <c r="G27" s="2"/>
    </row>
    <row r="29" spans="4:12" x14ac:dyDescent="0.2">
      <c r="E29" s="2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0324-4B68-D84E-9C45-03FA610514D7}">
  <sheetPr codeName="Sheet1"/>
  <dimension ref="A1:D93"/>
  <sheetViews>
    <sheetView tabSelected="1" workbookViewId="0">
      <selection activeCell="C76" sqref="C76"/>
    </sheetView>
  </sheetViews>
  <sheetFormatPr baseColWidth="10" defaultRowHeight="17" x14ac:dyDescent="0.2"/>
  <cols>
    <col min="1" max="1" width="37.625" customWidth="1"/>
    <col min="2" max="2" width="23.125" customWidth="1"/>
    <col min="3" max="3" width="34.5" customWidth="1"/>
    <col min="4" max="4" width="20.25" customWidth="1"/>
  </cols>
  <sheetData>
    <row r="1" spans="1:4" x14ac:dyDescent="0.2">
      <c r="A1" t="s">
        <v>0</v>
      </c>
    </row>
    <row r="3" spans="1:4" x14ac:dyDescent="0.2">
      <c r="A3" s="3" t="s">
        <v>1</v>
      </c>
    </row>
    <row r="4" spans="1:4" x14ac:dyDescent="0.2">
      <c r="A4" s="3"/>
      <c r="B4" s="4">
        <f>PI()</f>
        <v>3.1415926535897931</v>
      </c>
      <c r="C4" s="1">
        <f>newpi()</f>
        <v>3.14</v>
      </c>
    </row>
    <row r="5" spans="1:4" x14ac:dyDescent="0.2">
      <c r="A5" s="3" t="s">
        <v>2</v>
      </c>
    </row>
    <row r="6" spans="1:4" x14ac:dyDescent="0.2">
      <c r="A6" s="3"/>
      <c r="B6" t="s">
        <v>3</v>
      </c>
    </row>
    <row r="7" spans="1:4" x14ac:dyDescent="0.2">
      <c r="A7" s="3"/>
      <c r="B7">
        <v>5</v>
      </c>
      <c r="C7" s="1">
        <f>doubl(B7)</f>
        <v>10</v>
      </c>
    </row>
    <row r="8" spans="1:4" x14ac:dyDescent="0.2">
      <c r="A8" s="3"/>
      <c r="B8">
        <v>2.3650000000000002</v>
      </c>
      <c r="C8" s="1">
        <f>doubl(B8)</f>
        <v>4.7300000000000004</v>
      </c>
    </row>
    <row r="9" spans="1:4" x14ac:dyDescent="0.2">
      <c r="A9" s="3" t="s">
        <v>4</v>
      </c>
    </row>
    <row r="10" spans="1:4" x14ac:dyDescent="0.2">
      <c r="A10" s="3" t="s">
        <v>5</v>
      </c>
      <c r="B10" t="s">
        <v>6</v>
      </c>
      <c r="C10" t="s">
        <v>7</v>
      </c>
    </row>
    <row r="11" spans="1:4" x14ac:dyDescent="0.2">
      <c r="A11" s="7">
        <v>2.3432554353400001</v>
      </c>
      <c r="B11">
        <v>125</v>
      </c>
      <c r="C11" s="1">
        <f>korrutis(B11,A11)</f>
        <v>292.90699999999998</v>
      </c>
    </row>
    <row r="12" spans="1:4" x14ac:dyDescent="0.2">
      <c r="A12" s="3"/>
    </row>
    <row r="13" spans="1:4" x14ac:dyDescent="0.2">
      <c r="A13" s="3" t="s">
        <v>8</v>
      </c>
    </row>
    <row r="14" spans="1:4" x14ac:dyDescent="0.2">
      <c r="A14" s="3" t="s">
        <v>9</v>
      </c>
      <c r="B14" t="s">
        <v>10</v>
      </c>
      <c r="C14" t="s">
        <v>11</v>
      </c>
    </row>
    <row r="15" spans="1:4" x14ac:dyDescent="0.2">
      <c r="A15" s="3">
        <v>56</v>
      </c>
      <c r="B15">
        <v>5</v>
      </c>
      <c r="C15" s="1">
        <f>kolmnurPindala(A15,B15)</f>
        <v>140</v>
      </c>
      <c r="D15" s="1">
        <f>kolmnurkPindala2(A15,B15)</f>
        <v>140</v>
      </c>
    </row>
    <row r="16" spans="1:4" x14ac:dyDescent="0.2">
      <c r="A16" s="5" t="s">
        <v>12</v>
      </c>
    </row>
    <row r="17" spans="1:3" x14ac:dyDescent="0.2">
      <c r="A17" s="6" t="s">
        <v>46</v>
      </c>
      <c r="B17" t="s">
        <v>47</v>
      </c>
    </row>
    <row r="18" spans="1:3" x14ac:dyDescent="0.2">
      <c r="A18" s="6">
        <v>3</v>
      </c>
      <c r="B18">
        <v>4</v>
      </c>
      <c r="C18" s="1">
        <f>hypotintriangle(A18,B18)</f>
        <v>25</v>
      </c>
    </row>
    <row r="19" spans="1:3" x14ac:dyDescent="0.2">
      <c r="A19" s="5" t="s">
        <v>13</v>
      </c>
    </row>
    <row r="20" spans="1:3" x14ac:dyDescent="0.2">
      <c r="A20" s="6" t="s">
        <v>48</v>
      </c>
      <c r="B20" t="s">
        <v>49</v>
      </c>
    </row>
    <row r="21" spans="1:3" x14ac:dyDescent="0.2">
      <c r="A21" s="6">
        <v>100</v>
      </c>
      <c r="B21">
        <v>1.2</v>
      </c>
      <c r="C21" s="1">
        <f>flacon(A21,B21)</f>
        <v>113</v>
      </c>
    </row>
    <row r="22" spans="1:3" x14ac:dyDescent="0.2">
      <c r="A22" s="3" t="s">
        <v>14</v>
      </c>
    </row>
    <row r="23" spans="1:3" x14ac:dyDescent="0.2">
      <c r="A23" s="3"/>
      <c r="B23" t="s">
        <v>15</v>
      </c>
    </row>
    <row r="24" spans="1:3" x14ac:dyDescent="0.2">
      <c r="A24" s="3"/>
      <c r="B24">
        <v>16</v>
      </c>
      <c r="C24" s="1" t="str">
        <f>ilm(B24)</f>
        <v>soe</v>
      </c>
    </row>
    <row r="25" spans="1:3" x14ac:dyDescent="0.2">
      <c r="A25" s="3"/>
      <c r="B25">
        <v>-5</v>
      </c>
      <c r="C25" s="1" t="str">
        <f>ilm(B25)</f>
        <v>kulm</v>
      </c>
    </row>
    <row r="26" spans="1:3" x14ac:dyDescent="0.2">
      <c r="A26" s="3" t="s">
        <v>16</v>
      </c>
    </row>
    <row r="27" spans="1:3" x14ac:dyDescent="0.2">
      <c r="A27" s="3"/>
      <c r="B27" t="s">
        <v>15</v>
      </c>
    </row>
    <row r="28" spans="1:3" x14ac:dyDescent="0.2">
      <c r="A28" s="3"/>
      <c r="B28">
        <v>30</v>
      </c>
      <c r="C28" s="1" t="str">
        <f>ilmabra(B28)</f>
        <v>palav</v>
      </c>
    </row>
    <row r="29" spans="1:3" x14ac:dyDescent="0.2">
      <c r="A29" s="3"/>
      <c r="B29">
        <v>15</v>
      </c>
      <c r="C29" s="1" t="str">
        <f t="shared" ref="C29:C31" si="0">ilmabra(B29)</f>
        <v>kulm</v>
      </c>
    </row>
    <row r="30" spans="1:3" x14ac:dyDescent="0.2">
      <c r="A30" s="3"/>
      <c r="B30">
        <v>0</v>
      </c>
      <c r="C30" s="1" t="str">
        <f t="shared" si="0"/>
        <v>kulm</v>
      </c>
    </row>
    <row r="31" spans="1:3" x14ac:dyDescent="0.2">
      <c r="A31" s="3"/>
      <c r="B31">
        <v>20</v>
      </c>
      <c r="C31" s="1" t="str">
        <f t="shared" si="0"/>
        <v>soe</v>
      </c>
    </row>
    <row r="32" spans="1:3" x14ac:dyDescent="0.2">
      <c r="A32" s="3" t="s">
        <v>17</v>
      </c>
    </row>
    <row r="33" spans="1:3" x14ac:dyDescent="0.2">
      <c r="A33" s="3"/>
      <c r="B33" t="s">
        <v>18</v>
      </c>
    </row>
    <row r="34" spans="1:3" x14ac:dyDescent="0.2">
      <c r="A34" s="3"/>
      <c r="B34">
        <v>95</v>
      </c>
      <c r="C34" s="1" t="str">
        <f>hinne(B34)</f>
        <v>5</v>
      </c>
    </row>
    <row r="35" spans="1:3" x14ac:dyDescent="0.2">
      <c r="A35" s="3"/>
      <c r="B35">
        <v>77</v>
      </c>
      <c r="C35" s="1" t="str">
        <f t="shared" ref="C35:C37" si="1">hinne(B35)</f>
        <v>4</v>
      </c>
    </row>
    <row r="36" spans="1:3" x14ac:dyDescent="0.2">
      <c r="A36" s="3"/>
      <c r="B36">
        <v>66</v>
      </c>
      <c r="C36" s="1" t="str">
        <f t="shared" si="1"/>
        <v>3</v>
      </c>
    </row>
    <row r="37" spans="1:3" x14ac:dyDescent="0.2">
      <c r="A37" s="3"/>
      <c r="B37">
        <v>42</v>
      </c>
      <c r="C37" s="1" t="str">
        <f t="shared" si="1"/>
        <v>2</v>
      </c>
    </row>
    <row r="38" spans="1:3" x14ac:dyDescent="0.2">
      <c r="A38" s="3"/>
    </row>
    <row r="39" spans="1:3" x14ac:dyDescent="0.2">
      <c r="A39" s="3" t="s">
        <v>19</v>
      </c>
    </row>
    <row r="40" spans="1:3" x14ac:dyDescent="0.2">
      <c r="A40" s="3" t="s">
        <v>20</v>
      </c>
      <c r="B40" t="s">
        <v>21</v>
      </c>
    </row>
    <row r="41" spans="1:3" x14ac:dyDescent="0.2">
      <c r="A41" s="3">
        <v>10</v>
      </c>
      <c r="B41">
        <v>20</v>
      </c>
      <c r="C41" s="1" t="str">
        <f>hinne2(A41,B41)</f>
        <v>50hinne 2</v>
      </c>
    </row>
    <row r="42" spans="1:3" x14ac:dyDescent="0.2">
      <c r="A42" s="3">
        <v>75</v>
      </c>
      <c r="B42">
        <v>100</v>
      </c>
      <c r="C42" s="1" t="str">
        <f>hinne2(A42,B42)</f>
        <v>75hinne 4</v>
      </c>
    </row>
    <row r="43" spans="1:3" x14ac:dyDescent="0.2">
      <c r="A43" s="3">
        <v>3</v>
      </c>
      <c r="B43">
        <v>5</v>
      </c>
      <c r="C43" s="1" t="str">
        <f>hinne2(A43,B43)</f>
        <v>60hinne 3</v>
      </c>
    </row>
    <row r="44" spans="1:3" x14ac:dyDescent="0.2">
      <c r="A44" s="3"/>
    </row>
    <row r="45" spans="1:3" x14ac:dyDescent="0.2">
      <c r="A45" s="5" t="s">
        <v>22</v>
      </c>
    </row>
    <row r="46" spans="1:3" x14ac:dyDescent="0.2">
      <c r="A46" s="6" t="s">
        <v>50</v>
      </c>
    </row>
    <row r="47" spans="1:3" x14ac:dyDescent="0.2">
      <c r="A47" s="6">
        <v>149</v>
      </c>
      <c r="C47" s="1" t="str">
        <f>forge(A47)</f>
        <v>1</v>
      </c>
    </row>
    <row r="48" spans="1:3" x14ac:dyDescent="0.2">
      <c r="A48" s="6">
        <v>199</v>
      </c>
      <c r="C48" s="1" t="str">
        <f t="shared" ref="C48:C50" si="2">forge(A48)</f>
        <v>3</v>
      </c>
    </row>
    <row r="49" spans="1:4" x14ac:dyDescent="0.2">
      <c r="A49" s="6">
        <v>224</v>
      </c>
      <c r="C49" s="1" t="str">
        <f t="shared" si="2"/>
        <v>4</v>
      </c>
    </row>
    <row r="50" spans="1:4" x14ac:dyDescent="0.2">
      <c r="A50" s="6">
        <v>249</v>
      </c>
      <c r="C50" s="1" t="str">
        <f t="shared" si="2"/>
        <v>5</v>
      </c>
    </row>
    <row r="51" spans="1:4" x14ac:dyDescent="0.2">
      <c r="A51" s="5" t="s">
        <v>23</v>
      </c>
    </row>
    <row r="52" spans="1:4" x14ac:dyDescent="0.2">
      <c r="A52" s="6" t="s">
        <v>51</v>
      </c>
      <c r="B52" t="s">
        <v>52</v>
      </c>
    </row>
    <row r="53" spans="1:4" x14ac:dyDescent="0.2">
      <c r="A53" s="6">
        <v>50</v>
      </c>
      <c r="B53">
        <v>133500</v>
      </c>
      <c r="C53" s="1">
        <f>plaat(A53,B53)</f>
        <v>53</v>
      </c>
    </row>
    <row r="54" spans="1:4" x14ac:dyDescent="0.2">
      <c r="A54" s="6" t="s">
        <v>24</v>
      </c>
    </row>
    <row r="55" spans="1:4" x14ac:dyDescent="0.2">
      <c r="A55" s="6"/>
      <c r="B55" t="s">
        <v>3</v>
      </c>
      <c r="C55" t="s">
        <v>38</v>
      </c>
    </row>
    <row r="56" spans="1:4" x14ac:dyDescent="0.2">
      <c r="A56" s="6"/>
      <c r="B56">
        <v>34</v>
      </c>
      <c r="C56" s="1" t="str">
        <f>paarisArv(B56)</f>
        <v>paaris</v>
      </c>
    </row>
    <row r="57" spans="1:4" x14ac:dyDescent="0.2">
      <c r="A57" s="6"/>
      <c r="B57">
        <v>15</v>
      </c>
      <c r="C57" s="1" t="str">
        <f>paarisArv(B57)</f>
        <v>paaritu</v>
      </c>
    </row>
    <row r="58" spans="1:4" x14ac:dyDescent="0.2">
      <c r="A58" s="3" t="s">
        <v>25</v>
      </c>
    </row>
    <row r="59" spans="1:4" x14ac:dyDescent="0.2">
      <c r="A59" s="3"/>
      <c r="B59" s="3" t="s">
        <v>26</v>
      </c>
      <c r="C59" s="1" t="str">
        <f>EsimeneTaht(B59)</f>
        <v>V</v>
      </c>
    </row>
    <row r="60" spans="1:4" x14ac:dyDescent="0.2">
      <c r="A60" s="3" t="s">
        <v>27</v>
      </c>
    </row>
    <row r="61" spans="1:4" x14ac:dyDescent="0.2">
      <c r="A61" s="3" t="s">
        <v>28</v>
      </c>
    </row>
    <row r="62" spans="1:4" x14ac:dyDescent="0.2">
      <c r="A62" s="3"/>
      <c r="B62" t="s">
        <v>29</v>
      </c>
      <c r="C62" s="1" t="str">
        <f>separ(B62)</f>
        <v xml:space="preserve">Vjatseslav </v>
      </c>
      <c r="D62" s="1" t="str">
        <f>separ2(B62)</f>
        <v>Aktsurin</v>
      </c>
    </row>
    <row r="63" spans="1:4" x14ac:dyDescent="0.2">
      <c r="A63" s="3"/>
    </row>
    <row r="64" spans="1:4" x14ac:dyDescent="0.2">
      <c r="A64" s="3" t="s">
        <v>30</v>
      </c>
    </row>
    <row r="65" spans="1:3" x14ac:dyDescent="0.2">
      <c r="A65" s="3" t="s">
        <v>31</v>
      </c>
    </row>
    <row r="66" spans="1:3" x14ac:dyDescent="0.2">
      <c r="A66" s="5" t="s">
        <v>32</v>
      </c>
    </row>
    <row r="67" spans="1:3" x14ac:dyDescent="0.2">
      <c r="A67" s="6" t="s">
        <v>53</v>
      </c>
      <c r="B67" t="s">
        <v>54</v>
      </c>
    </row>
    <row r="68" spans="1:3" x14ac:dyDescent="0.2">
      <c r="A68" s="6">
        <v>150</v>
      </c>
      <c r="C68" s="1" t="str">
        <f>height(A68)</f>
        <v>madal</v>
      </c>
    </row>
    <row r="69" spans="1:3" x14ac:dyDescent="0.2">
      <c r="A69" s="6">
        <v>185</v>
      </c>
      <c r="C69" s="1" t="str">
        <f t="shared" ref="C69:C70" si="3">height(A69)</f>
        <v>keskmine</v>
      </c>
    </row>
    <row r="70" spans="1:3" x14ac:dyDescent="0.2">
      <c r="A70" s="6">
        <v>200</v>
      </c>
      <c r="C70" s="1" t="str">
        <f t="shared" si="3"/>
        <v>pikk</v>
      </c>
    </row>
    <row r="71" spans="1:3" x14ac:dyDescent="0.2">
      <c r="A71" s="5" t="s">
        <v>33</v>
      </c>
    </row>
    <row r="72" spans="1:3" x14ac:dyDescent="0.2">
      <c r="A72" s="6" t="s">
        <v>46</v>
      </c>
      <c r="B72" t="s">
        <v>47</v>
      </c>
      <c r="C72" t="s">
        <v>55</v>
      </c>
    </row>
    <row r="73" spans="1:3" x14ac:dyDescent="0.2">
      <c r="A73" s="6">
        <v>10</v>
      </c>
      <c r="B73">
        <v>20</v>
      </c>
      <c r="C73" s="1">
        <f>rectangle(A73,B73)</f>
        <v>60</v>
      </c>
    </row>
    <row r="74" spans="1:3" x14ac:dyDescent="0.2">
      <c r="A74" s="5" t="s">
        <v>34</v>
      </c>
    </row>
    <row r="75" spans="1:3" x14ac:dyDescent="0.2">
      <c r="A75" s="6" t="s">
        <v>57</v>
      </c>
      <c r="C75" t="s">
        <v>56</v>
      </c>
    </row>
    <row r="76" spans="1:3" x14ac:dyDescent="0.2">
      <c r="A76" s="6">
        <v>39307251111</v>
      </c>
      <c r="C76" s="1" t="str">
        <f>birthday(A76)</f>
        <v>25.07.93</v>
      </c>
    </row>
    <row r="77" spans="1:3" x14ac:dyDescent="0.2">
      <c r="A77" s="5" t="s">
        <v>35</v>
      </c>
    </row>
    <row r="78" spans="1:3" x14ac:dyDescent="0.2">
      <c r="A78" s="6" t="s">
        <v>59</v>
      </c>
      <c r="C78" t="s">
        <v>58</v>
      </c>
    </row>
    <row r="79" spans="1:3" x14ac:dyDescent="0.2">
      <c r="A79" s="6">
        <v>39307251111</v>
      </c>
      <c r="C79" s="1" t="str">
        <f>abcd(A79)</f>
        <v>Juuli</v>
      </c>
    </row>
    <row r="80" spans="1:3" x14ac:dyDescent="0.2">
      <c r="A80" s="5" t="s">
        <v>36</v>
      </c>
    </row>
    <row r="81" spans="1:4" x14ac:dyDescent="0.2">
      <c r="A81" s="6" t="s">
        <v>60</v>
      </c>
      <c r="C81" t="s">
        <v>61</v>
      </c>
    </row>
    <row r="82" spans="1:4" x14ac:dyDescent="0.2">
      <c r="A82" s="6">
        <v>39307251111</v>
      </c>
      <c r="C82" s="1" t="str">
        <f>abcd2(A82)</f>
        <v>1993</v>
      </c>
    </row>
    <row r="83" spans="1:4" x14ac:dyDescent="0.2">
      <c r="A83" s="5" t="s">
        <v>37</v>
      </c>
    </row>
    <row r="84" spans="1:4" x14ac:dyDescent="0.2">
      <c r="A84" s="6" t="s">
        <v>62</v>
      </c>
    </row>
    <row r="85" spans="1:4" x14ac:dyDescent="0.2">
      <c r="A85" s="6" t="s">
        <v>64</v>
      </c>
      <c r="B85" t="s">
        <v>65</v>
      </c>
      <c r="C85" t="s">
        <v>66</v>
      </c>
      <c r="D85" t="s">
        <v>63</v>
      </c>
    </row>
    <row r="86" spans="1:4" x14ac:dyDescent="0.2">
      <c r="A86">
        <v>10</v>
      </c>
      <c r="B86">
        <v>2.5</v>
      </c>
      <c r="C86">
        <v>17.5</v>
      </c>
      <c r="D86" s="1">
        <f>owntask(A86,$B$86,$C$86)</f>
        <v>70</v>
      </c>
    </row>
    <row r="87" spans="1:4" x14ac:dyDescent="0.2">
      <c r="A87">
        <v>20</v>
      </c>
      <c r="D87" s="1">
        <f t="shared" ref="D87:D93" si="4">owntask(A87,$B$86,$C$86)</f>
        <v>140</v>
      </c>
    </row>
    <row r="88" spans="1:4" x14ac:dyDescent="0.2">
      <c r="A88">
        <v>30</v>
      </c>
      <c r="D88" s="1">
        <f t="shared" si="4"/>
        <v>210</v>
      </c>
    </row>
    <row r="89" spans="1:4" x14ac:dyDescent="0.2">
      <c r="A89">
        <v>45</v>
      </c>
      <c r="D89" s="1">
        <f t="shared" si="4"/>
        <v>315</v>
      </c>
    </row>
    <row r="90" spans="1:4" x14ac:dyDescent="0.2">
      <c r="A90">
        <v>55</v>
      </c>
      <c r="D90" s="1">
        <f t="shared" si="4"/>
        <v>385</v>
      </c>
    </row>
    <row r="91" spans="1:4" x14ac:dyDescent="0.2">
      <c r="A91">
        <v>105</v>
      </c>
      <c r="D91" s="1">
        <f t="shared" si="4"/>
        <v>735</v>
      </c>
    </row>
    <row r="92" spans="1:4" x14ac:dyDescent="0.2">
      <c r="A92">
        <v>210</v>
      </c>
      <c r="D92" s="1">
        <f t="shared" si="4"/>
        <v>1470</v>
      </c>
    </row>
    <row r="93" spans="1:4" x14ac:dyDescent="0.2">
      <c r="A93">
        <v>250</v>
      </c>
      <c r="D93" s="1">
        <f t="shared" si="4"/>
        <v>1750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macros</vt:lpstr>
      <vt:lpstr>user_functions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2022-12-21T16:17:01Z</dcterms:created>
  <dcterms:modified xsi:type="dcterms:W3CDTF">2022-12-21T19:49:53Z</dcterms:modified>
</cp:coreProperties>
</file>